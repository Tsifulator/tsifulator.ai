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00" yWindow="660" windowWidth="21140" windowHeight="17560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Price Solver" sheetId="3" state="visible" r:id="rId3"/>
    <sheet xmlns:r="http://schemas.openxmlformats.org/officeDocument/2006/relationships" name="Sales Forecast" sheetId="4" state="visible" r:id="rId4"/>
  </sheets>
  <definedNames>
    <definedName name="Selling_Price">'Price Solver'!$C$12</definedName>
    <definedName name="Total_Commission">'Price Solver'!$C$14</definedName>
    <definedName name="Net_Commission">'Price Solver'!$C$17</definedName>
    <definedName name="solver_adj" localSheetId="0" hidden="1">Calculator!$C$12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Calculator!#REF!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50000</definedName>
    <definedName name="solver_ver" localSheetId="0" hidden="1">3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mm\ d"/>
    <numFmt numFmtId="165" formatCode="_(&quot;$&quot;* #,##0_);_(&quot;$&quot;* \(#,##0\);_(&quot;$&quot;* &quot;-&quot;??_);_(@_)"/>
    <numFmt numFmtId="166" formatCode="&quot;$&quot;#,##0.00"/>
    <numFmt numFmtId="167" formatCode="&quot;$&quot;#,##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0"/>
      <scheme val="minor"/>
    </font>
    <font>
      <name val="Bodoni MT Black"/>
      <family val="1"/>
      <color theme="1"/>
      <sz val="20"/>
    </font>
    <font>
      <name val="Bodoni MT Black"/>
      <family val="1"/>
      <color theme="1"/>
      <sz val="11"/>
    </font>
    <font>
      <name val="Bodoni MT Black"/>
      <family val="1"/>
      <color theme="1"/>
      <sz val="16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69">
    <xf numFmtId="0" fontId="0" fillId="0" borderId="0" pivotButton="0" quotePrefix="0" xfId="0"/>
    <xf numFmtId="0" fontId="7" fillId="0" borderId="0" pivotButton="0" quotePrefix="0" xfId="1"/>
    <xf numFmtId="3" fontId="7" fillId="0" borderId="0" pivotButton="0" quotePrefix="0" xfId="1"/>
    <xf numFmtId="0" fontId="7" fillId="0" borderId="3" applyAlignment="1" pivotButton="0" quotePrefix="0" xfId="1">
      <alignment horizontal="center"/>
    </xf>
    <xf numFmtId="9" fontId="7" fillId="0" borderId="4" pivotButton="0" quotePrefix="0" xfId="1"/>
    <xf numFmtId="0" fontId="7" fillId="0" borderId="6" applyAlignment="1" pivotButton="0" quotePrefix="0" xfId="1">
      <alignment horizontal="center"/>
    </xf>
    <xf numFmtId="9" fontId="7" fillId="0" borderId="7" pivotButton="0" quotePrefix="0" xfId="1"/>
    <xf numFmtId="9" fontId="7" fillId="0" borderId="5" pivotButton="0" quotePrefix="0" xfId="1"/>
    <xf numFmtId="0" fontId="7" fillId="3" borderId="0" pivotButton="0" quotePrefix="0" xfId="1"/>
    <xf numFmtId="0" fontId="2" fillId="3" borderId="0" applyAlignment="1" pivotButton="0" quotePrefix="0" xfId="1">
      <alignment horizontal="centerContinuous"/>
    </xf>
    <xf numFmtId="0" fontId="7" fillId="3" borderId="0" applyAlignment="1" pivotButton="0" quotePrefix="0" xfId="1">
      <alignment horizontal="centerContinuous"/>
    </xf>
    <xf numFmtId="0" fontId="2" fillId="0" borderId="0" applyAlignment="1" pivotButton="0" quotePrefix="0" xfId="1">
      <alignment horizontal="centerContinuous"/>
    </xf>
    <xf numFmtId="0" fontId="7" fillId="0" borderId="0" applyAlignment="1" pivotButton="0" quotePrefix="0" xfId="1">
      <alignment horizontal="centerContinuous"/>
    </xf>
    <xf numFmtId="9" fontId="7" fillId="0" borderId="3" pivotButton="0" quotePrefix="0" xfId="1"/>
    <xf numFmtId="0" fontId="7" fillId="0" borderId="9" applyAlignment="1" pivotButton="0" quotePrefix="0" xfId="1">
      <alignment horizontal="center"/>
    </xf>
    <xf numFmtId="9" fontId="7" fillId="0" borderId="10" pivotButton="0" quotePrefix="0" xfId="1"/>
    <xf numFmtId="0" fontId="1" fillId="0" borderId="12" applyAlignment="1" pivotButton="0" quotePrefix="0" xfId="1">
      <alignment horizontal="center"/>
    </xf>
    <xf numFmtId="0" fontId="1" fillId="0" borderId="13" applyAlignment="1" pivotButton="0" quotePrefix="0" xfId="1">
      <alignment horizontal="center" wrapText="1"/>
    </xf>
    <xf numFmtId="0" fontId="1" fillId="0" borderId="14" applyAlignment="1" pivotButton="0" quotePrefix="0" xfId="1">
      <alignment horizontal="center"/>
    </xf>
    <xf numFmtId="0" fontId="7" fillId="0" borderId="9" pivotButton="0" quotePrefix="0" xfId="1"/>
    <xf numFmtId="0" fontId="1" fillId="0" borderId="13" applyAlignment="1" pivotButton="0" quotePrefix="0" xfId="1">
      <alignment horizontal="center"/>
    </xf>
    <xf numFmtId="0" fontId="1" fillId="2" borderId="1" pivotButton="0" quotePrefix="0" xfId="1"/>
    <xf numFmtId="0" fontId="1" fillId="2" borderId="3" pivotButton="0" quotePrefix="0" xfId="1"/>
    <xf numFmtId="0" fontId="1" fillId="2" borderId="6" pivotButton="0" quotePrefix="0" xfId="1"/>
    <xf numFmtId="0" fontId="3" fillId="0" borderId="0" applyAlignment="1" pivotButton="0" quotePrefix="0" xfId="1">
      <alignment horizontal="centerContinuous"/>
    </xf>
    <xf numFmtId="0" fontId="4" fillId="0" borderId="0" applyAlignment="1" pivotButton="0" quotePrefix="0" xfId="1">
      <alignment horizontal="centerContinuous"/>
    </xf>
    <xf numFmtId="0" fontId="7" fillId="4" borderId="0" pivotButton="0" quotePrefix="0" xfId="1"/>
    <xf numFmtId="0" fontId="2" fillId="4" borderId="0" applyAlignment="1" pivotButton="0" quotePrefix="0" xfId="1">
      <alignment horizontal="centerContinuous"/>
    </xf>
    <xf numFmtId="0" fontId="7" fillId="4" borderId="0" applyAlignment="1" pivotButton="0" quotePrefix="0" xfId="1">
      <alignment horizontal="centerContinuous"/>
    </xf>
    <xf numFmtId="0" fontId="1" fillId="4" borderId="1" pivotButton="0" quotePrefix="0" xfId="1"/>
    <xf numFmtId="0" fontId="1" fillId="4" borderId="3" pivotButton="0" quotePrefix="0" xfId="1"/>
    <xf numFmtId="0" fontId="1" fillId="4" borderId="6" pivotButton="0" quotePrefix="0" xfId="1"/>
    <xf numFmtId="0" fontId="5" fillId="0" borderId="0" applyAlignment="1" pivotButton="0" quotePrefix="0" xfId="1">
      <alignment horizontal="centerContinuous"/>
    </xf>
    <xf numFmtId="0" fontId="5" fillId="0" borderId="0" applyAlignment="1" pivotButton="0" quotePrefix="0" xfId="1">
      <alignment horizontal="centerContinuous" vertical="top"/>
    </xf>
    <xf numFmtId="0" fontId="1" fillId="0" borderId="15" applyAlignment="1" pivotButton="0" quotePrefix="0" xfId="1">
      <alignment horizontal="center"/>
    </xf>
    <xf numFmtId="0" fontId="7" fillId="0" borderId="15" pivotButton="0" quotePrefix="0" xfId="1"/>
    <xf numFmtId="14" fontId="7" fillId="0" borderId="15" pivotButton="0" quotePrefix="0" xfId="1"/>
    <xf numFmtId="164" fontId="6" fillId="0" borderId="0" applyAlignment="1" pivotButton="0" quotePrefix="0" xfId="1">
      <alignment horizontal="centerContinuous"/>
    </xf>
    <xf numFmtId="165" fontId="7" fillId="0" borderId="10" pivotButton="0" quotePrefix="0" xfId="1"/>
    <xf numFmtId="165" fontId="7" fillId="0" borderId="4" pivotButton="0" quotePrefix="0" xfId="1"/>
    <xf numFmtId="165" fontId="7" fillId="0" borderId="7" pivotButton="0" quotePrefix="0" xfId="1"/>
    <xf numFmtId="165" fontId="7" fillId="0" borderId="2" pivotButton="0" quotePrefix="0" xfId="1"/>
    <xf numFmtId="165" fontId="7" fillId="0" borderId="5" pivotButton="0" quotePrefix="0" xfId="1"/>
    <xf numFmtId="165" fontId="7" fillId="0" borderId="8" pivotButton="0" quotePrefix="0" xfId="1"/>
    <xf numFmtId="10" fontId="7" fillId="0" borderId="11" pivotButton="0" quotePrefix="0" xfId="1"/>
    <xf numFmtId="10" fontId="7" fillId="0" borderId="5" pivotButton="0" quotePrefix="0" xfId="1"/>
    <xf numFmtId="10" fontId="7" fillId="0" borderId="8" pivotButton="0" quotePrefix="0" xfId="1"/>
    <xf numFmtId="0" fontId="1" fillId="0" borderId="15" applyAlignment="1" pivotButton="0" quotePrefix="0" xfId="1">
      <alignment horizontal="center" wrapText="1"/>
    </xf>
    <xf numFmtId="166" fontId="7" fillId="0" borderId="0" pivotButton="0" quotePrefix="0" xfId="1"/>
    <xf numFmtId="167" fontId="7" fillId="0" borderId="0" pivotButton="0" quotePrefix="0" xfId="1"/>
    <xf numFmtId="9" fontId="7" fillId="0" borderId="6" pivotButton="0" quotePrefix="0" xfId="1"/>
    <xf numFmtId="167" fontId="7" fillId="0" borderId="15" pivotButton="0" quotePrefix="0" xfId="1"/>
    <xf numFmtId="165" fontId="7" fillId="0" borderId="0" pivotButton="0" quotePrefix="0" xfId="1"/>
    <xf numFmtId="165" fontId="7" fillId="0" borderId="10" pivotButton="0" quotePrefix="0" xfId="1"/>
    <xf numFmtId="165" fontId="7" fillId="0" borderId="4" pivotButton="0" quotePrefix="0" xfId="1"/>
    <xf numFmtId="165" fontId="7" fillId="0" borderId="7" pivotButton="0" quotePrefix="0" xfId="1"/>
    <xf numFmtId="165" fontId="7" fillId="0" borderId="2" pivotButton="0" quotePrefix="0" xfId="1"/>
    <xf numFmtId="165" fontId="7" fillId="0" borderId="0" pivotButton="0" quotePrefix="0" xfId="1"/>
    <xf numFmtId="165" fontId="7" fillId="0" borderId="5" pivotButton="0" quotePrefix="0" xfId="1"/>
    <xf numFmtId="165" fontId="7" fillId="0" borderId="8" pivotButton="0" quotePrefix="0" xfId="1"/>
    <xf numFmtId="166" fontId="7" fillId="0" borderId="4" pivotButton="0" quotePrefix="0" xfId="1"/>
    <xf numFmtId="166" fontId="7" fillId="0" borderId="7" pivotButton="0" quotePrefix="0" xfId="1"/>
    <xf numFmtId="0" fontId="8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4" fontId="6" fillId="0" borderId="0" applyAlignment="1" pivotButton="0" quotePrefix="0" xfId="1">
      <alignment horizontal="centerContinuous"/>
    </xf>
    <xf numFmtId="167" fontId="7" fillId="0" borderId="15" pivotButton="0" quotePrefix="0" xfId="1"/>
    <xf numFmtId="166" fontId="7" fillId="0" borderId="0" pivotButton="0" quotePrefix="0" xfId="1"/>
    <xf numFmtId="167" fontId="7" fillId="0" borderId="0" pivotButton="0" quotePrefix="0" xfId="1"/>
  </cellXfs>
  <cellStyles count="2">
    <cellStyle name="Normal" xfId="0" builtinId="0"/>
    <cellStyle name="Normal#NusYdTU/JERi/uIYQOQce93Px6UE8xD0xNexyatltk0=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Price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Forecast'!J4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Forecast'!$I$5:$I$16</f>
            </numRef>
          </cat>
          <val>
            <numRef>
              <f>'Sales Forecast'!$J$5:$J$16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Selling Price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295275</colOff>
      <row>1</row>
      <rowOff>76200</rowOff>
    </from>
    <to>
      <col>2</col>
      <colOff>247650</colOff>
      <row>3</row>
      <rowOff>12194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5275" y="342900"/>
          <a:ext cx="1990725" cy="850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266700</colOff>
      <row>1</row>
      <rowOff>76200</rowOff>
    </from>
    <to>
      <col>2</col>
      <colOff>546100</colOff>
      <row>3</row>
      <rowOff>12194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6700" y="266700"/>
          <a:ext cx="2095500" cy="850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190498</colOff>
      <row>0</row>
      <rowOff>95249</rowOff>
    </from>
    <to>
      <col>3</col>
      <colOff>114299</colOff>
      <row>3</row>
      <rowOff>12575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498" y="95249"/>
          <a:ext cx="3067051" cy="1117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11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G26"/>
  <sheetViews>
    <sheetView tabSelected="1" workbookViewId="0">
      <selection activeCell="A5" sqref="A5"/>
    </sheetView>
  </sheetViews>
  <sheetFormatPr baseColWidth="10" defaultColWidth="8.83203125" defaultRowHeight="15"/>
  <cols>
    <col width="11.83203125" customWidth="1" style="1" min="1" max="1"/>
    <col width="18.6640625" customWidth="1" style="1" min="2" max="2"/>
    <col width="15.5" customWidth="1" style="1" min="3" max="4"/>
    <col width="6.1640625" bestFit="1" customWidth="1" style="1" min="5" max="5"/>
    <col width="10" bestFit="1" customWidth="1" style="1" min="7" max="7"/>
  </cols>
  <sheetData>
    <row r="1" ht="21" customHeight="1">
      <c r="A1" s="8" t="n"/>
      <c r="B1" s="8" t="n"/>
      <c r="C1" s="8" t="n"/>
      <c r="D1" s="8" t="n"/>
    </row>
    <row r="2" ht="33.75" customHeight="1">
      <c r="A2" s="24" t="n"/>
      <c r="B2" s="25" t="n"/>
      <c r="C2" s="32" t="inlineStr">
        <is>
          <t>Commission Split</t>
        </is>
      </c>
      <c r="D2" s="32" t="n"/>
    </row>
    <row r="3" ht="38.25" customHeight="1">
      <c r="A3" s="24" t="n"/>
      <c r="B3" s="25" t="n"/>
      <c r="C3" s="33" t="inlineStr">
        <is>
          <t>Calculator</t>
        </is>
      </c>
      <c r="D3" s="32" t="n"/>
    </row>
    <row r="4" ht="21" customHeight="1">
      <c r="A4" s="9" t="n"/>
      <c r="B4" s="10" t="n"/>
      <c r="C4" s="10" t="n"/>
      <c r="D4" s="10" t="n"/>
    </row>
    <row r="5" ht="15" customHeight="1" thickBot="1">
      <c r="A5" s="11" t="n"/>
      <c r="B5" s="12" t="n"/>
      <c r="C5" s="12" t="n"/>
      <c r="D5" s="12" t="n"/>
    </row>
    <row r="6" ht="32" customHeight="1">
      <c r="A6" s="16" t="inlineStr">
        <is>
          <t>Price Group</t>
        </is>
      </c>
      <c r="B6" s="17" t="inlineStr">
        <is>
          <t>Minimum 
Price</t>
        </is>
      </c>
      <c r="C6" s="17" t="inlineStr">
        <is>
          <t>Maximum 
Price</t>
        </is>
      </c>
      <c r="D6" s="17" t="inlineStr">
        <is>
          <t>Buyer Agent %</t>
        </is>
      </c>
    </row>
    <row r="7">
      <c r="A7" s="14" t="n">
        <v>1</v>
      </c>
      <c r="B7" s="53" t="n">
        <v>0</v>
      </c>
      <c r="C7" s="53" t="n">
        <v>1499999</v>
      </c>
      <c r="D7" s="15" t="n">
        <v>0.5</v>
      </c>
    </row>
    <row r="8">
      <c r="A8" s="3" t="n">
        <v>2</v>
      </c>
      <c r="B8" s="54" t="n">
        <v>1500000</v>
      </c>
      <c r="C8" s="54" t="n">
        <v>5499999</v>
      </c>
      <c r="D8" s="4" t="n">
        <v>0.45</v>
      </c>
    </row>
    <row r="9">
      <c r="A9" s="3" t="n">
        <v>3</v>
      </c>
      <c r="B9" s="54" t="n">
        <v>5500000</v>
      </c>
      <c r="C9" s="54" t="n">
        <v>9499999</v>
      </c>
      <c r="D9" s="4" t="n">
        <v>0.4</v>
      </c>
    </row>
    <row r="10" ht="16" customHeight="1" thickBot="1">
      <c r="A10" s="5" t="n">
        <v>4</v>
      </c>
      <c r="B10" s="55" t="n">
        <v>9500000</v>
      </c>
      <c r="C10" s="55" t="n">
        <v>13499999</v>
      </c>
      <c r="D10" s="6" t="n">
        <v>0.35</v>
      </c>
    </row>
    <row r="11" ht="16" customHeight="1" thickBot="1"/>
    <row r="12">
      <c r="B12" s="21" t="inlineStr">
        <is>
          <t>Selling Price</t>
        </is>
      </c>
      <c r="C12" s="56" t="n">
        <v>2750000</v>
      </c>
      <c r="G12" s="57" t="n"/>
    </row>
    <row r="13">
      <c r="B13" s="22" t="inlineStr">
        <is>
          <t>Commission Rate</t>
        </is>
      </c>
      <c r="C13" s="7" t="n">
        <v>0.05</v>
      </c>
      <c r="G13" s="57" t="n"/>
    </row>
    <row r="14">
      <c r="B14" s="22" t="inlineStr">
        <is>
          <t>Total Commission</t>
        </is>
      </c>
      <c r="C14" s="58">
        <f>C13*C12</f>
        <v/>
      </c>
    </row>
    <row r="15" ht="16" customHeight="1" thickBot="1">
      <c r="B15" s="23" t="inlineStr">
        <is>
          <t>PHRE Share</t>
        </is>
      </c>
      <c r="C15" s="59">
        <f>_xlfn.IFS(C12&lt;=C7,C14*D7,C12&lt;=C8,C14*D8,C12&lt;=C9,C14*D9,C12&gt;=B10,C14*D10)</f>
        <v/>
      </c>
    </row>
    <row r="16" ht="16" customHeight="1" thickBot="1"/>
    <row r="17">
      <c r="B17" s="16" t="inlineStr">
        <is>
          <t>Buyer Agent %</t>
        </is>
      </c>
      <c r="C17" s="20" t="inlineStr">
        <is>
          <t>Amount</t>
        </is>
      </c>
    </row>
    <row r="18">
      <c r="B18" s="19" t="n"/>
      <c r="C18" s="53">
        <f>C14*D7</f>
        <v/>
      </c>
    </row>
    <row r="19">
      <c r="B19" s="13" t="n">
        <v>0.25</v>
      </c>
      <c r="C19" s="60">
        <f>$C$14*B19</f>
        <v/>
      </c>
    </row>
    <row r="20">
      <c r="B20" s="13" t="n">
        <v>0.3</v>
      </c>
      <c r="C20" s="60">
        <f>$C$14*B20</f>
        <v/>
      </c>
    </row>
    <row r="21">
      <c r="B21" s="13" t="n">
        <v>0.35</v>
      </c>
      <c r="C21" s="60">
        <f>$C$14*B21</f>
        <v/>
      </c>
    </row>
    <row r="22">
      <c r="B22" s="13" t="n">
        <v>0.4</v>
      </c>
      <c r="C22" s="60">
        <f>$C$14*B22</f>
        <v/>
      </c>
    </row>
    <row r="23">
      <c r="B23" s="13" t="n">
        <v>0.45</v>
      </c>
      <c r="C23" s="60">
        <f>$C$14*B23</f>
        <v/>
      </c>
    </row>
    <row r="24">
      <c r="B24" s="13" t="n">
        <v>0.5</v>
      </c>
      <c r="C24" s="60">
        <f>$C$14*B24</f>
        <v/>
      </c>
    </row>
    <row r="25">
      <c r="B25" s="13" t="n">
        <v>0.55</v>
      </c>
      <c r="C25" s="60">
        <f>$C$14*B25</f>
        <v/>
      </c>
    </row>
    <row r="26" ht="16" customHeight="1" thickBot="1">
      <c r="B26" s="50" t="n">
        <v>0.6</v>
      </c>
      <c r="C26" s="61">
        <f>$C$14*B26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62" t="inlineStr">
        <is>
          <t>Scenario Summary</t>
        </is>
      </c>
    </row>
    <row r="3">
      <c r="A3" t="inlineStr"/>
      <c r="B3" t="inlineStr"/>
      <c r="C3" s="63" t="inlineStr">
        <is>
          <t>Current Values:</t>
        </is>
      </c>
      <c r="D3" s="63" t="inlineStr">
        <is>
          <t>$50,000</t>
        </is>
      </c>
      <c r="E3" s="63" t="inlineStr">
        <is>
          <t>$75,000</t>
        </is>
      </c>
      <c r="F3" s="63" t="inlineStr">
        <is>
          <t>$100,000</t>
        </is>
      </c>
    </row>
    <row r="5">
      <c r="B5" s="63" t="inlineStr">
        <is>
          <t>Changing Cells:</t>
        </is>
      </c>
    </row>
    <row r="6">
      <c r="B6" t="inlineStr">
        <is>
          <t>Selling_Price</t>
        </is>
      </c>
      <c r="C6" s="64" t="n">
        <v>4500000</v>
      </c>
      <c r="D6" s="64" t="n">
        <v>2250351.62</v>
      </c>
      <c r="E6" s="64" t="n">
        <v>3375527.43</v>
      </c>
      <c r="F6" s="64" t="n">
        <v>4500703.23</v>
      </c>
    </row>
    <row r="7">
      <c r="B7" s="63" t="inlineStr">
        <is>
          <t>Result Cells:</t>
        </is>
      </c>
    </row>
    <row r="8">
      <c r="B8" t="inlineStr">
        <is>
          <t>Selling_Price</t>
        </is>
      </c>
      <c r="C8" s="64" t="n">
        <v>4500000</v>
      </c>
      <c r="D8" s="64" t="n">
        <v>2250351.62</v>
      </c>
      <c r="E8" s="64" t="n">
        <v>3375527.43</v>
      </c>
      <c r="F8" s="64" t="n">
        <v>4500703.23</v>
      </c>
    </row>
    <row r="9">
      <c r="B9" t="inlineStr">
        <is>
          <t>Total_Commission</t>
        </is>
      </c>
      <c r="C9" s="64" t="n">
        <v>225000</v>
      </c>
      <c r="D9" s="64" t="n">
        <v>112517.581</v>
      </c>
      <c r="E9" s="64" t="n">
        <v>168776.3715</v>
      </c>
      <c r="F9" s="64" t="n">
        <v>225035.1615</v>
      </c>
    </row>
    <row r="10">
      <c r="B10" t="inlineStr">
        <is>
          <t>Net_Commission</t>
        </is>
      </c>
      <c r="C10" s="64" t="n">
        <v>99984.375</v>
      </c>
      <c r="D10" s="64" t="n">
        <v>50000.000056875</v>
      </c>
      <c r="E10" s="64" t="n">
        <v>75000.00008531251</v>
      </c>
      <c r="F10" s="64" t="n">
        <v>99999.99989156252</v>
      </c>
    </row>
    <row r="12" ht="45" customHeight="1">
      <c r="B12" t="inlineStr">
        <is>
          <t>Notes:  Current Values column represents values of changing cells at time Scenario Summary Report was created.  Changing cells for each scenario are highlighted in gray.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E27"/>
  <sheetViews>
    <sheetView workbookViewId="0">
      <selection activeCell="A5" sqref="A5"/>
    </sheetView>
  </sheetViews>
  <sheetFormatPr baseColWidth="10" defaultColWidth="8.83203125" defaultRowHeight="15"/>
  <cols>
    <col width="10.33203125" bestFit="1" customWidth="1" style="1" min="1" max="1"/>
    <col width="15.83203125" bestFit="1" customWidth="1" style="1" min="2" max="2"/>
    <col width="12.1640625" bestFit="1" customWidth="1" style="1" min="3" max="3"/>
    <col width="7.83203125" bestFit="1" customWidth="1" style="1" min="4" max="4"/>
    <col width="6" bestFit="1" customWidth="1" style="1" min="5" max="5"/>
    <col width="6.1640625" bestFit="1" customWidth="1" style="1" min="6" max="6"/>
  </cols>
  <sheetData>
    <row r="1">
      <c r="A1" s="26" t="n"/>
      <c r="B1" s="26" t="n"/>
      <c r="C1" s="26" t="n"/>
      <c r="D1" s="26" t="n"/>
      <c r="E1" s="26" t="n"/>
    </row>
    <row r="2" ht="36" customHeight="1">
      <c r="A2" s="24" t="n"/>
      <c r="B2" s="25" t="n"/>
      <c r="C2" s="32" t="inlineStr">
        <is>
          <t>Commission Split</t>
        </is>
      </c>
      <c r="D2" s="25" t="n"/>
      <c r="E2" s="25" t="n"/>
    </row>
    <row r="3" ht="36" customHeight="1">
      <c r="C3" s="33" t="inlineStr">
        <is>
          <t>Calculator</t>
        </is>
      </c>
      <c r="D3" s="25" t="n"/>
      <c r="E3" s="25" t="n"/>
    </row>
    <row r="4" ht="15" customHeight="1">
      <c r="A4" s="27" t="n"/>
      <c r="B4" s="28" t="n"/>
      <c r="C4" s="28" t="n"/>
      <c r="D4" s="28" t="n"/>
      <c r="E4" s="28" t="n"/>
    </row>
    <row r="5" ht="15" customHeight="1" thickBot="1">
      <c r="A5" s="11" t="n"/>
      <c r="B5" s="12" t="n"/>
      <c r="C5" s="12" t="n"/>
      <c r="D5" s="12" t="n"/>
      <c r="E5" s="12" t="n"/>
    </row>
    <row r="6" ht="32" customHeight="1">
      <c r="A6" s="16" t="inlineStr">
        <is>
          <t>Price Group</t>
        </is>
      </c>
      <c r="B6" s="17" t="inlineStr">
        <is>
          <t>Minimum 
Price</t>
        </is>
      </c>
      <c r="C6" s="17" t="inlineStr">
        <is>
          <t>Maximum 
Price</t>
        </is>
      </c>
      <c r="D6" s="17" t="inlineStr">
        <is>
          <t>To Buyer Agent</t>
        </is>
      </c>
      <c r="E6" s="18" t="inlineStr">
        <is>
          <t>Fees</t>
        </is>
      </c>
    </row>
    <row r="7">
      <c r="A7" s="14" t="n">
        <v>1</v>
      </c>
      <c r="B7" s="53" t="n">
        <v>0</v>
      </c>
      <c r="C7" s="53" t="n">
        <v>1499999</v>
      </c>
      <c r="D7" s="15" t="n">
        <v>0.5</v>
      </c>
      <c r="E7" s="44" t="n">
        <v>0.0125</v>
      </c>
    </row>
    <row r="8">
      <c r="A8" s="3" t="n">
        <v>2</v>
      </c>
      <c r="B8" s="54" t="n">
        <v>1500000</v>
      </c>
      <c r="C8" s="54" t="n">
        <v>5499999</v>
      </c>
      <c r="D8" s="4" t="n">
        <v>0.45</v>
      </c>
      <c r="E8" s="45" t="n">
        <v>0.013</v>
      </c>
    </row>
    <row r="9">
      <c r="A9" s="3" t="n">
        <v>3</v>
      </c>
      <c r="B9" s="54" t="n">
        <v>5500000</v>
      </c>
      <c r="C9" s="54" t="n">
        <v>9499999</v>
      </c>
      <c r="D9" s="4" t="n">
        <v>0.4</v>
      </c>
      <c r="E9" s="45" t="n">
        <v>0.02</v>
      </c>
    </row>
    <row r="10" ht="16" customHeight="1" thickBot="1">
      <c r="A10" s="5" t="n">
        <v>4</v>
      </c>
      <c r="B10" s="55" t="n">
        <v>9500000</v>
      </c>
      <c r="C10" s="55" t="n">
        <v>13499999</v>
      </c>
      <c r="D10" s="6" t="n">
        <v>0.35</v>
      </c>
      <c r="E10" s="46" t="n">
        <v>0.0215</v>
      </c>
    </row>
    <row r="11" ht="16" customHeight="1" thickBot="1"/>
    <row r="12">
      <c r="B12" s="29" t="inlineStr">
        <is>
          <t>Selling Price</t>
        </is>
      </c>
      <c r="C12" s="56" t="n">
        <v>4500000</v>
      </c>
    </row>
    <row r="13">
      <c r="B13" s="30" t="inlineStr">
        <is>
          <t>Listing Commission</t>
        </is>
      </c>
      <c r="C13" s="7" t="n">
        <v>0.05</v>
      </c>
    </row>
    <row r="14">
      <c r="B14" s="30" t="inlineStr">
        <is>
          <t>Total Commission</t>
        </is>
      </c>
      <c r="C14" s="58">
        <f>C13*C12</f>
        <v/>
      </c>
    </row>
    <row r="15">
      <c r="B15" s="30" t="inlineStr">
        <is>
          <t>To Buyer Agent</t>
        </is>
      </c>
      <c r="C15" s="58">
        <f>_xlfn.IFS(C12&lt;=C7,C14*D7,C12&lt;=C8,C14*D8,C12&lt;=C9,C14*D9,C12&gt;=B10,C14*D10)</f>
        <v/>
      </c>
    </row>
    <row r="16">
      <c r="B16" s="30" t="inlineStr">
        <is>
          <t>Fee Calculation</t>
        </is>
      </c>
      <c r="C16" s="58">
        <f>_xlfn.IFS(C12&gt;=C7,C15*E7,C12&lt;=C8,C15*E8,C12&lt;=C9,C15*E9,C12&gt;=B10,C15*E10)</f>
        <v/>
      </c>
    </row>
    <row r="17" ht="16" customHeight="1" thickBot="1">
      <c r="B17" s="31" t="inlineStr">
        <is>
          <t>Net Commission</t>
        </is>
      </c>
      <c r="C17" s="59">
        <f>C15-C16</f>
        <v/>
      </c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7" tint="-0.249977111117893"/>
    <outlinePr summaryBelow="1" summaryRight="1"/>
    <pageSetUpPr fitToPage="1"/>
  </sheetPr>
  <dimension ref="A1:J26"/>
  <sheetViews>
    <sheetView workbookViewId="0">
      <selection activeCell="A4" sqref="A4"/>
    </sheetView>
  </sheetViews>
  <sheetFormatPr baseColWidth="10" defaultColWidth="8.83203125" defaultRowHeight="15"/>
  <cols>
    <col width="26.33203125" bestFit="1" customWidth="1" style="1" min="1" max="1"/>
    <col width="11.6640625" customWidth="1" style="1" min="2" max="2"/>
    <col width="12.83203125" customWidth="1" style="1" min="4" max="4"/>
    <col width="11.1640625" bestFit="1" customWidth="1" style="1" min="5" max="5"/>
    <col width="12" customWidth="1" style="1" min="6" max="6"/>
    <col hidden="1" width="13" customWidth="1" min="8" max="8"/>
  </cols>
  <sheetData>
    <row r="1" ht="31.5" customHeight="1">
      <c r="A1" s="12" t="n"/>
      <c r="B1" s="12" t="n"/>
      <c r="C1" s="12" t="n"/>
      <c r="E1" s="12" t="n"/>
      <c r="F1" s="65">
        <f>TODAY()</f>
        <v/>
      </c>
    </row>
    <row r="2" ht="31.5" customHeight="1">
      <c r="A2" s="12" t="n"/>
      <c r="B2" s="12" t="n"/>
      <c r="C2" s="12" t="n"/>
      <c r="D2" s="12" t="n"/>
      <c r="E2" s="12" t="n"/>
    </row>
    <row r="3" ht="31.5" customHeight="1">
      <c r="A3" s="12" t="n"/>
      <c r="B3" s="12" t="n"/>
      <c r="C3" s="12" t="n"/>
      <c r="D3" s="12" t="n"/>
      <c r="E3" s="12" t="n"/>
    </row>
    <row r="4" ht="36" customHeight="1">
      <c r="A4" s="34" t="inlineStr">
        <is>
          <t>Address</t>
        </is>
      </c>
      <c r="B4" s="34" t="inlineStr">
        <is>
          <t>City</t>
        </is>
      </c>
      <c r="C4" s="34" t="inlineStr">
        <is>
          <t>Sq Ft</t>
        </is>
      </c>
      <c r="D4" s="34" t="inlineStr">
        <is>
          <t>Closing Date</t>
        </is>
      </c>
      <c r="E4" s="34" t="inlineStr">
        <is>
          <t>Sale Price</t>
        </is>
      </c>
      <c r="F4" s="47" t="inlineStr">
        <is>
          <t>Community Donation</t>
        </is>
      </c>
      <c r="I4" s="63" t="inlineStr">
        <is>
          <t>Bin</t>
        </is>
      </c>
      <c r="J4" s="63" t="inlineStr">
        <is>
          <t>Frequency</t>
        </is>
      </c>
    </row>
    <row r="5" ht="18" customHeight="1">
      <c r="A5" s="35" t="inlineStr">
        <is>
          <t>3420 Milburn Street</t>
        </is>
      </c>
      <c r="B5" s="35" t="inlineStr">
        <is>
          <t>Rocklin</t>
        </is>
      </c>
      <c r="C5" s="35" t="n">
        <v>1900</v>
      </c>
      <c r="D5" s="36">
        <f>F1-90</f>
        <v/>
      </c>
      <c r="E5" s="66" t="n">
        <v>650000</v>
      </c>
      <c r="F5" s="66">
        <f>(E5:E26/C5:C26)*2</f>
        <v/>
      </c>
      <c r="H5" s="67" t="n"/>
      <c r="I5" s="68" t="n">
        <v>400000</v>
      </c>
      <c r="J5">
        <f t="array" ref="J5:J16">FREQUENCY(E5:E26,I5:I15)</f>
        <v/>
      </c>
    </row>
    <row r="6" ht="18" customHeight="1">
      <c r="A6" s="35" t="inlineStr">
        <is>
          <t>2128 Wedgewood</t>
        </is>
      </c>
      <c r="B6" s="35" t="inlineStr">
        <is>
          <t>Roseville</t>
        </is>
      </c>
      <c r="C6" s="35" t="n">
        <v>1184</v>
      </c>
      <c r="D6" s="36">
        <f>D5+7</f>
        <v/>
      </c>
      <c r="E6" s="66" t="n">
        <v>575000</v>
      </c>
      <c r="F6" s="66" t="n"/>
      <c r="I6" t="n">
        <v>450000</v>
      </c>
    </row>
    <row r="7" ht="18" customHeight="1">
      <c r="A7" s="35" t="inlineStr">
        <is>
          <t>4336 Newland Heights Drive</t>
        </is>
      </c>
      <c r="B7" s="35" t="inlineStr">
        <is>
          <t>Rocklin</t>
        </is>
      </c>
      <c r="C7" s="35" t="n">
        <v>1840</v>
      </c>
      <c r="D7" s="36">
        <f>D6+7</f>
        <v/>
      </c>
      <c r="E7" s="66" t="n">
        <v>485000</v>
      </c>
      <c r="F7" s="66" t="n"/>
      <c r="I7" t="n">
        <v>500000</v>
      </c>
    </row>
    <row r="8" ht="18" customHeight="1">
      <c r="A8" s="35" t="inlineStr">
        <is>
          <t>131 Aeolia Drive</t>
        </is>
      </c>
      <c r="B8" s="35" t="inlineStr">
        <is>
          <t>Auburn</t>
        </is>
      </c>
      <c r="C8" s="35" t="n">
        <v>1905</v>
      </c>
      <c r="D8" s="36">
        <f>D7+7</f>
        <v/>
      </c>
      <c r="E8" s="66" t="n">
        <v>615500</v>
      </c>
      <c r="F8" s="66" t="n"/>
      <c r="I8" t="n">
        <v>550000</v>
      </c>
    </row>
    <row r="9" ht="18" customHeight="1">
      <c r="A9" s="35" t="inlineStr">
        <is>
          <t>12355 Krista Lane</t>
        </is>
      </c>
      <c r="B9" s="35" t="inlineStr">
        <is>
          <t>Auburn</t>
        </is>
      </c>
      <c r="C9" s="35" t="n">
        <v>2234</v>
      </c>
      <c r="D9" s="36">
        <f>D8+7</f>
        <v/>
      </c>
      <c r="E9" s="66" t="n">
        <v>725000</v>
      </c>
      <c r="F9" s="66" t="n"/>
      <c r="I9" t="n">
        <v>600000</v>
      </c>
    </row>
    <row r="10" ht="18" customHeight="1">
      <c r="A10" s="35" t="inlineStr">
        <is>
          <t>1096 Kinnerly Lane</t>
        </is>
      </c>
      <c r="B10" s="35" t="inlineStr">
        <is>
          <t>Lincoln</t>
        </is>
      </c>
      <c r="C10" s="35" t="n">
        <v>1948</v>
      </c>
      <c r="D10" s="36">
        <f>D9+7</f>
        <v/>
      </c>
      <c r="E10" s="66" t="n">
        <v>620000</v>
      </c>
      <c r="F10" s="66" t="n"/>
      <c r="I10" t="n">
        <v>650000</v>
      </c>
    </row>
    <row r="11" ht="18" customHeight="1">
      <c r="A11" s="35" t="inlineStr">
        <is>
          <t>272 Lariat Loop</t>
        </is>
      </c>
      <c r="B11" s="35" t="inlineStr">
        <is>
          <t>Lincoln</t>
        </is>
      </c>
      <c r="C11" s="35" t="n">
        <v>1571</v>
      </c>
      <c r="D11" s="36">
        <f>D10+7</f>
        <v/>
      </c>
      <c r="E11" s="66" t="n">
        <v>485000</v>
      </c>
      <c r="F11" s="66" t="n"/>
      <c r="I11" t="n">
        <v>700000</v>
      </c>
    </row>
    <row r="12" ht="18" customHeight="1">
      <c r="A12" s="35" t="inlineStr">
        <is>
          <t>1255 Copperdale</t>
        </is>
      </c>
      <c r="B12" s="35" t="inlineStr">
        <is>
          <t>Auburn</t>
        </is>
      </c>
      <c r="C12" s="35" t="n">
        <v>1456</v>
      </c>
      <c r="D12" s="36">
        <f>D11+7</f>
        <v/>
      </c>
      <c r="E12" s="66" t="n">
        <v>395900</v>
      </c>
      <c r="F12" s="66" t="n"/>
      <c r="I12" t="n">
        <v>750000</v>
      </c>
    </row>
    <row r="13" ht="18" customHeight="1">
      <c r="A13" s="35" t="inlineStr">
        <is>
          <t>324 Center Point</t>
        </is>
      </c>
      <c r="B13" s="35" t="inlineStr">
        <is>
          <t>Roseville</t>
        </is>
      </c>
      <c r="C13" s="35" t="n">
        <v>1480</v>
      </c>
      <c r="D13" s="36">
        <f>D12+7</f>
        <v/>
      </c>
      <c r="E13" s="66" t="n">
        <v>410000</v>
      </c>
      <c r="F13" s="66" t="n"/>
      <c r="H13" t="n">
        <v>400000</v>
      </c>
      <c r="I13" t="n">
        <v>800000</v>
      </c>
    </row>
    <row r="14" ht="18" customHeight="1">
      <c r="A14" s="35" t="inlineStr">
        <is>
          <t>411 Marion Street</t>
        </is>
      </c>
      <c r="B14" s="35" t="inlineStr">
        <is>
          <t>Auburn</t>
        </is>
      </c>
      <c r="C14" s="35" t="n">
        <v>1950</v>
      </c>
      <c r="D14" s="36">
        <f>D13+7</f>
        <v/>
      </c>
      <c r="E14" s="66" t="n">
        <v>615000</v>
      </c>
      <c r="F14" s="66" t="n"/>
      <c r="H14" t="n">
        <v>450000</v>
      </c>
      <c r="I14" t="n">
        <v>850000</v>
      </c>
    </row>
    <row r="15" ht="18" customHeight="1">
      <c r="A15" s="35" t="inlineStr">
        <is>
          <t>17523 Oleander</t>
        </is>
      </c>
      <c r="B15" s="35" t="inlineStr">
        <is>
          <t>Sacramento</t>
        </is>
      </c>
      <c r="C15" s="35" t="n">
        <v>2100</v>
      </c>
      <c r="D15" s="36">
        <f>D14+7</f>
        <v/>
      </c>
      <c r="E15" s="66" t="n">
        <v>825000</v>
      </c>
      <c r="F15" s="66" t="n"/>
      <c r="H15" t="n">
        <v>500000</v>
      </c>
      <c r="I15" t="n">
        <v>900000</v>
      </c>
    </row>
    <row r="16" ht="18" customHeight="1">
      <c r="A16" s="35" t="inlineStr">
        <is>
          <t>1044 Lake Street</t>
        </is>
      </c>
      <c r="B16" s="35" t="inlineStr">
        <is>
          <t>Elk Grove</t>
        </is>
      </c>
      <c r="C16" s="35" t="n">
        <v>1755</v>
      </c>
      <c r="D16" s="36">
        <f>D15+7</f>
        <v/>
      </c>
      <c r="E16" s="66" t="n">
        <v>810000</v>
      </c>
      <c r="F16" s="66" t="n"/>
      <c r="H16" t="n">
        <v>550000</v>
      </c>
      <c r="I16" t="inlineStr">
        <is>
          <t>More</t>
        </is>
      </c>
    </row>
    <row r="17" ht="18" customHeight="1">
      <c r="A17" s="35" t="inlineStr">
        <is>
          <t>15802 Centennial</t>
        </is>
      </c>
      <c r="B17" s="35" t="inlineStr">
        <is>
          <t>Davis</t>
        </is>
      </c>
      <c r="C17" s="35" t="n">
        <v>1950</v>
      </c>
      <c r="D17" s="36">
        <f>D16+7</f>
        <v/>
      </c>
      <c r="E17" s="66" t="n">
        <v>765000</v>
      </c>
      <c r="F17" s="66" t="n"/>
      <c r="H17" t="n">
        <v>600000</v>
      </c>
    </row>
    <row r="18" ht="18" customHeight="1">
      <c r="A18" s="35" t="inlineStr">
        <is>
          <t>14313 Clearview</t>
        </is>
      </c>
      <c r="B18" s="35" t="inlineStr">
        <is>
          <t>Sacramento</t>
        </is>
      </c>
      <c r="C18" s="35" t="n">
        <v>2200</v>
      </c>
      <c r="D18" s="36">
        <f>D17+7</f>
        <v/>
      </c>
      <c r="E18" s="66" t="n">
        <v>899000</v>
      </c>
      <c r="F18" s="66" t="n"/>
      <c r="H18" t="n">
        <v>650000</v>
      </c>
    </row>
    <row r="19" ht="18" customHeight="1">
      <c r="A19" s="35" t="inlineStr">
        <is>
          <t>12222 South Ann Street</t>
        </is>
      </c>
      <c r="B19" s="35" t="inlineStr">
        <is>
          <t>Elk Grove</t>
        </is>
      </c>
      <c r="C19" s="35" t="n">
        <v>2100</v>
      </c>
      <c r="D19" s="36">
        <f>D18+7</f>
        <v/>
      </c>
      <c r="E19" s="66" t="n">
        <v>835000</v>
      </c>
      <c r="F19" s="66" t="n"/>
      <c r="H19" t="n">
        <v>700000</v>
      </c>
    </row>
    <row r="20" ht="18" customHeight="1">
      <c r="A20" s="35" t="inlineStr">
        <is>
          <t>2330 West 120 Street</t>
        </is>
      </c>
      <c r="B20" s="35" t="inlineStr">
        <is>
          <t>Davis</t>
        </is>
      </c>
      <c r="C20" s="35" t="n">
        <v>1700</v>
      </c>
      <c r="D20" s="36">
        <f>D19+7</f>
        <v/>
      </c>
      <c r="E20" s="66" t="n">
        <v>650000</v>
      </c>
      <c r="F20" s="66" t="n"/>
      <c r="H20" t="n">
        <v>750000</v>
      </c>
    </row>
    <row r="21" ht="18" customHeight="1">
      <c r="A21" s="35" t="inlineStr">
        <is>
          <t>7240 Westbrook Drive</t>
        </is>
      </c>
      <c r="B21" s="35" t="inlineStr">
        <is>
          <t>Sacramento</t>
        </is>
      </c>
      <c r="C21" s="35" t="n">
        <v>1900</v>
      </c>
      <c r="D21" s="36">
        <f>D20+7</f>
        <v/>
      </c>
      <c r="E21" s="66" t="n">
        <v>715000</v>
      </c>
      <c r="F21" s="66" t="n"/>
      <c r="H21" t="n">
        <v>800000</v>
      </c>
    </row>
    <row r="22" ht="18" customHeight="1">
      <c r="A22" s="35" t="inlineStr">
        <is>
          <t>419 Harlem Avenue</t>
        </is>
      </c>
      <c r="B22" s="35" t="inlineStr">
        <is>
          <t>Elk Grove</t>
        </is>
      </c>
      <c r="C22" s="35" t="n">
        <v>2000</v>
      </c>
      <c r="D22" s="36">
        <f>D21+7</f>
        <v/>
      </c>
      <c r="E22" s="66" t="n">
        <v>799900</v>
      </c>
      <c r="F22" s="66" t="n"/>
      <c r="H22" t="n">
        <v>850000</v>
      </c>
    </row>
    <row r="23" ht="18" customHeight="1">
      <c r="A23" s="35" t="inlineStr">
        <is>
          <t>9023 Evergreen Lane</t>
        </is>
      </c>
      <c r="B23" s="35" t="inlineStr">
        <is>
          <t>Davis</t>
        </is>
      </c>
      <c r="C23" s="35" t="n">
        <v>1850</v>
      </c>
      <c r="D23" s="36">
        <f>D22+7</f>
        <v/>
      </c>
      <c r="E23" s="66" t="n">
        <v>820000</v>
      </c>
      <c r="F23" s="66" t="n"/>
      <c r="H23" t="n">
        <v>900000</v>
      </c>
    </row>
    <row r="24" ht="18" customHeight="1">
      <c r="A24" s="35" t="inlineStr">
        <is>
          <t>4230 Madison Street</t>
        </is>
      </c>
      <c r="B24" s="35" t="inlineStr">
        <is>
          <t>Sacramento</t>
        </is>
      </c>
      <c r="C24" s="35" t="n">
        <v>1900</v>
      </c>
      <c r="D24" s="36">
        <f>D23+7</f>
        <v/>
      </c>
      <c r="E24" s="66" t="n">
        <v>735900</v>
      </c>
      <c r="F24" s="66" t="n"/>
    </row>
    <row r="25" ht="18" customHeight="1">
      <c r="A25" s="35" t="inlineStr">
        <is>
          <t>1330 Harrison Street</t>
        </is>
      </c>
      <c r="B25" s="35" t="inlineStr">
        <is>
          <t>Elk Grove</t>
        </is>
      </c>
      <c r="C25" s="35" t="n">
        <v>2100</v>
      </c>
      <c r="D25" s="36">
        <f>D24+7</f>
        <v/>
      </c>
      <c r="E25" s="66" t="n">
        <v>915000</v>
      </c>
      <c r="F25" s="66" t="n"/>
    </row>
    <row r="26" ht="18" customHeight="1">
      <c r="A26" s="35" t="inlineStr">
        <is>
          <t>401 Lombard Avenue</t>
        </is>
      </c>
      <c r="B26" s="35" t="inlineStr">
        <is>
          <t>Davis</t>
        </is>
      </c>
      <c r="C26" s="35" t="n">
        <v>1650</v>
      </c>
      <c r="D26" s="36">
        <f>D25+7</f>
        <v/>
      </c>
      <c r="E26" s="66" t="n">
        <v>585000</v>
      </c>
      <c r="F26" s="66" t="n"/>
    </row>
  </sheetData>
  <pageMargins left="0.7" right="0.7" top="0.75" bottom="0.75" header="0.3" footer="0.3"/>
  <pageSetup orientation="landscape" scale="7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2021-08-01T01:21:29Z</dcterms:created>
  <dcterms:modified xmlns:dcterms="http://purl.org/dc/terms/" xmlns:xsi="http://www.w3.org/2001/XMLSchema-instance" xsi:type="dcterms:W3CDTF">2026-04-21T18:45:34Z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0x010100BB56AA54391DBD4FA915A61EB4CD85F5</vt:lpwstr>
  </property>
  <property name="ms_schema_validation" fmtid="{D5CDD505-2E9C-101B-9397-08002B2CF9AE}" pid="3">
    <vt:lpwstr xmlns:vt="http://schemas.openxmlformats.org/officeDocument/2006/docPropsVTypes">[{"Key":"kers","Value":"iZVsE21brjO6kVTr3v\u002BeG4d6CYmq43kQxz9QKXp\u002B1j4="},{"Key":"massa","Value":"4/20/2026 11:30:42 PM"},{"Key":"hamilton","Value":"true"}]</vt:lpwstr>
  </property>
</Properties>
</file>