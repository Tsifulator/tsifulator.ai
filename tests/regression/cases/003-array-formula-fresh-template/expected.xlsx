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/>
  <xr:revisionPtr revIDLastSave="0" documentId="8_{41839D75-7886-D744-8311-E893017CCEB7}" xr6:coauthVersionLast="47" xr6:coauthVersionMax="47" xr10:uidLastSave="{00000000-0000-0000-0000-000000000000}"/>
  <bookViews>
    <workbookView xWindow="8260" yWindow="660" windowWidth="21140" windowHeight="17560" activeTab="2" xr2:uid="{00000000-000D-0000-FFFF-FFFF00000000}"/>
  </bookViews>
  <sheets>
    <sheet name="Calculator" sheetId="5" r:id="rId1"/>
    <sheet name="Price Solver" sheetId="2" r:id="rId2"/>
    <sheet name="Sales Forecast" sheetId="4" r:id="rId3"/>
  </sheets>
  <definedNames>
    <definedName name="solver_adj" localSheetId="0" hidden="1">Calculator!$C$12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Calculator!#REF!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1</definedName>
    <definedName name="solver_val" localSheetId="0" hidden="1">50000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 a="1"/>
  <c r="F5" i="4" s="1"/>
  <c r="C14" i="5"/>
  <c r="C15" i="5" s="1"/>
  <c r="F1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C14" i="2" l="1"/>
  <c r="C15" i="2" s="1"/>
  <c r="C16" i="2" s="1"/>
  <c r="C1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<sst xmlns="http://schemas.openxmlformats.org/spreadsheetml/2006/main" count="75" uniqueCount="51">
  <si>
    <t>Fees</t>
  </si>
  <si>
    <t>Listing Commission</t>
  </si>
  <si>
    <t>Total Commission</t>
  </si>
  <si>
    <t>Fee Calculation</t>
  </si>
  <si>
    <t>Minimum 
Price</t>
  </si>
  <si>
    <t>Maximum 
Price</t>
  </si>
  <si>
    <t>Selling Price</t>
  </si>
  <si>
    <t>Net Commission</t>
  </si>
  <si>
    <t>Calculator</t>
  </si>
  <si>
    <t>Commission Split</t>
  </si>
  <si>
    <t>Address</t>
  </si>
  <si>
    <t>City</t>
  </si>
  <si>
    <t>Sq Ft</t>
  </si>
  <si>
    <t>Sale Price</t>
  </si>
  <si>
    <t>3420 Milburn Street</t>
  </si>
  <si>
    <t>Rocklin</t>
  </si>
  <si>
    <t>2128 Wedgewood</t>
  </si>
  <si>
    <t>Roseville</t>
  </si>
  <si>
    <t>4336 Newland Heights Drive</t>
  </si>
  <si>
    <t>131 Aeolia Drive</t>
  </si>
  <si>
    <t>Auburn</t>
  </si>
  <si>
    <t>12355 Krista Lane</t>
  </si>
  <si>
    <t>1096 Kinnerly Lane</t>
  </si>
  <si>
    <t>Lincoln</t>
  </si>
  <si>
    <t>272 Lariat Loop</t>
  </si>
  <si>
    <t>1255 Copperdale</t>
  </si>
  <si>
    <t>324 Center Point</t>
  </si>
  <si>
    <t>411 Marion Street</t>
  </si>
  <si>
    <t>17523 Oleander</t>
  </si>
  <si>
    <t>Sacramento</t>
  </si>
  <si>
    <t>1044 Lake Street</t>
  </si>
  <si>
    <t>Elk Grove</t>
  </si>
  <si>
    <t>15802 Centennial</t>
  </si>
  <si>
    <t>Davis</t>
  </si>
  <si>
    <t>14313 Clearview</t>
  </si>
  <si>
    <t>12222 South Ann Street</t>
  </si>
  <si>
    <t>2330 West 120 Street</t>
  </si>
  <si>
    <t>7240 Westbrook Drive</t>
  </si>
  <si>
    <t>419 Harlem Avenue</t>
  </si>
  <si>
    <t>9023 Evergreen Lane</t>
  </si>
  <si>
    <t>4230 Madison Street</t>
  </si>
  <si>
    <t>1330 Harrison Street</t>
  </si>
  <si>
    <t>401 Lombard Avenue</t>
  </si>
  <si>
    <t>Closing Date</t>
  </si>
  <si>
    <t>Price Group</t>
  </si>
  <si>
    <t>Commission Rate</t>
  </si>
  <si>
    <t>Community Donation</t>
  </si>
  <si>
    <t>Buyer Agent %</t>
  </si>
  <si>
    <t>PHRE Share</t>
  </si>
  <si>
    <t>Amount</t>
  </si>
  <si>
    <t>To Buyer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</si>
</sst>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mmm\ d"/>
    <numFmt numFmtId="166" formatCode="_(&quot;$&quot;* #,##0_);_(&quot;$&quot;* \(#,##0\);_(&quot;$&quot;* &quot;-&quot;??_);_(@_)"/>
    <numFmt numFmtId="167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Bodoni MT Black"/>
      <family val="1"/>
    </font>
    <font>
      <sz val="11"/>
      <color theme="1"/>
      <name val="Bodoni MT Black"/>
      <family val="1"/>
    </font>
    <font>
      <sz val="16"/>
      <color theme="1"/>
      <name val="Bodoni MT Black"/>
      <family val="1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7" fillId="0" borderId="0" xfId="1"/>
    <xf numFmtId="3" fontId="7" fillId="0" borderId="0" xfId="1" applyNumberFormat="1"/>
    <xf numFmtId="0" fontId="7" fillId="0" borderId="3" xfId="1" applyBorder="1" applyAlignment="1">
      <alignment horizontal="center"/>
    </xf>
    <xf numFmtId="9" fontId="7" fillId="0" borderId="4" xfId="1" applyNumberFormat="1" applyBorder="1"/>
    <xf numFmtId="0" fontId="7" fillId="0" borderId="6" xfId="1" applyBorder="1" applyAlignment="1">
      <alignment horizontal="center"/>
    </xf>
    <xf numFmtId="9" fontId="7" fillId="0" borderId="7" xfId="1" applyNumberFormat="1" applyBorder="1"/>
    <xf numFmtId="9" fontId="7" fillId="0" borderId="5" xfId="1" applyNumberFormat="1" applyBorder="1"/>
    <xf numFmtId="0" fontId="7" fillId="3" borderId="0" xfId="1" applyFill="1"/>
    <xf numFmtId="0" fontId="2" fillId="3" borderId="0" xfId="1" applyFont="1" applyFill="1" applyAlignment="1">
      <alignment horizontal="centerContinuous"/>
    </xf>
    <xf numFmtId="0" fontId="7" fillId="3" borderId="0" xfId="1" applyFill="1" applyAlignment="1">
      <alignment horizontal="centerContinuous"/>
    </xf>
    <xf numFmtId="0" fontId="2" fillId="0" borderId="0" xfId="1" applyFont="1" applyAlignment="1">
      <alignment horizontal="centerContinuous"/>
    </xf>
    <xf numFmtId="0" fontId="7" fillId="0" borderId="0" xfId="1" applyAlignment="1">
      <alignment horizontal="centerContinuous"/>
    </xf>
    <xf numFmtId="9" fontId="7" fillId="0" borderId="3" xfId="1" applyNumberFormat="1" applyBorder="1"/>
    <xf numFmtId="0" fontId="7" fillId="0" borderId="9" xfId="1" applyBorder="1" applyAlignment="1">
      <alignment horizontal="center"/>
    </xf>
    <xf numFmtId="9" fontId="7" fillId="0" borderId="10" xfId="1" applyNumberFormat="1" applyBorder="1"/>
    <xf numFmtId="0" fontId="1" fillId="0" borderId="12" xfId="1" applyFont="1" applyBorder="1" applyAlignment="1">
      <alignment horizontal="center"/>
    </xf>
    <xf numFmtId="0" fontId="1" fillId="0" borderId="13" xfId="1" applyFont="1" applyBorder="1" applyAlignment="1">
      <alignment horizontal="center" wrapText="1"/>
    </xf>
    <xf numFmtId="0" fontId="1" fillId="0" borderId="14" xfId="1" applyFont="1" applyBorder="1" applyAlignment="1">
      <alignment horizontal="center"/>
    </xf>
    <xf numFmtId="0" fontId="7" fillId="0" borderId="9" xfId="1" applyBorder="1"/>
    <xf numFmtId="0" fontId="1" fillId="0" borderId="13" xfId="1" applyFont="1" applyBorder="1" applyAlignment="1">
      <alignment horizontal="center"/>
    </xf>
    <xf numFmtId="0" fontId="1" fillId="2" borderId="1" xfId="1" applyFont="1" applyFill="1" applyBorder="1"/>
    <xf numFmtId="0" fontId="1" fillId="2" borderId="3" xfId="1" applyFont="1" applyFill="1" applyBorder="1"/>
    <xf numFmtId="0" fontId="1" fillId="2" borderId="6" xfId="1" applyFont="1" applyFill="1" applyBorder="1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7" fillId="4" borderId="0" xfId="1" applyFill="1"/>
    <xf numFmtId="0" fontId="2" fillId="4" borderId="0" xfId="1" applyFont="1" applyFill="1" applyAlignment="1">
      <alignment horizontal="centerContinuous"/>
    </xf>
    <xf numFmtId="0" fontId="7" fillId="4" borderId="0" xfId="1" applyFill="1" applyAlignment="1">
      <alignment horizontal="centerContinuous"/>
    </xf>
    <xf numFmtId="0" fontId="1" fillId="4" borderId="1" xfId="1" applyFont="1" applyFill="1" applyBorder="1"/>
    <xf numFmtId="0" fontId="1" fillId="4" borderId="3" xfId="1" applyFont="1" applyFill="1" applyBorder="1"/>
    <xf numFmtId="0" fontId="1" fillId="4" borderId="6" xfId="1" applyFont="1" applyFill="1" applyBorder="1"/>
    <xf numFmtId="0" fontId="5" fillId="0" borderId="0" xfId="1" applyFont="1" applyAlignment="1">
      <alignment horizontal="centerContinuous"/>
    </xf>
    <xf numFmtId="0" fontId="5" fillId="0" borderId="0" xfId="1" applyFont="1" applyAlignment="1">
      <alignment horizontal="centerContinuous" vertical="top"/>
    </xf>
    <xf numFmtId="0" fontId="1" fillId="0" borderId="15" xfId="1" applyFont="1" applyBorder="1" applyAlignment="1">
      <alignment horizontal="center"/>
    </xf>
    <xf numFmtId="0" fontId="7" fillId="0" borderId="15" xfId="1" applyBorder="1"/>
    <xf numFmtId="14" fontId="7" fillId="0" borderId="15" xfId="1" applyNumberFormat="1" applyBorder="1"/>
    <xf numFmtId="165" fontId="6" fillId="0" borderId="0" xfId="1" applyNumberFormat="1" applyFont="1" applyAlignment="1">
      <alignment horizontal="centerContinuous"/>
    </xf>
    <xf numFmtId="166" fontId="7" fillId="0" borderId="10" xfId="1" applyNumberFormat="1" applyBorder="1"/>
    <xf numFmtId="166" fontId="7" fillId="0" borderId="4" xfId="1" applyNumberFormat="1" applyBorder="1"/>
    <xf numFmtId="166" fontId="7" fillId="0" borderId="7" xfId="1" applyNumberFormat="1" applyBorder="1"/>
    <xf numFmtId="166" fontId="7" fillId="0" borderId="2" xfId="1" applyNumberFormat="1" applyBorder="1"/>
    <xf numFmtId="166" fontId="7" fillId="0" borderId="5" xfId="1" applyNumberFormat="1" applyBorder="1"/>
    <xf numFmtId="166" fontId="7" fillId="0" borderId="8" xfId="1" applyNumberFormat="1" applyBorder="1"/>
    <xf numFmtId="10" fontId="7" fillId="0" borderId="11" xfId="1" applyNumberFormat="1" applyBorder="1"/>
    <xf numFmtId="10" fontId="7" fillId="0" borderId="5" xfId="1" applyNumberFormat="1" applyBorder="1"/>
    <xf numFmtId="10" fontId="7" fillId="0" borderId="8" xfId="1" applyNumberFormat="1" applyBorder="1"/>
    <xf numFmtId="0" fontId="1" fillId="0" borderId="15" xfId="1" applyFont="1" applyBorder="1" applyAlignment="1">
      <alignment horizontal="center" wrapText="1"/>
    </xf>
    <xf numFmtId="167" fontId="7" fillId="0" borderId="0" xfId="1" applyNumberFormat="1"/>
    <xf numFmtId="164" fontId="7" fillId="0" borderId="0" xfId="1" applyNumberFormat="1"/>
    <xf numFmtId="9" fontId="7" fillId="0" borderId="6" xfId="1" applyNumberFormat="1" applyBorder="1"/>
    <xf numFmtId="164" fontId="7" fillId="0" borderId="15" xfId="1" applyNumberFormat="1" applyBorder="1"/>
    <xf numFmtId="166" fontId="7" fillId="0" borderId="0" xfId="1" applyNumberFormat="1"/>
  </cellXfs>
  <cellStyles count="2">
    <cellStyle name="Normal" xfId="0" builtinId="0"/>
    <cellStyle name="Normal#NusYdTU/JERi/uIYQOQce93Px6UE8xD0xNexyatltk0=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76200</xdr:rowOff>
    </xdr:from>
    <xdr:to>
      <xdr:col>2</xdr:col>
      <xdr:colOff>247650</xdr:colOff>
      <xdr:row>3</xdr:row>
      <xdr:rowOff>12194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2DFCF-A9F8-48EF-A618-C9AB9C98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42900"/>
          <a:ext cx="1990725" cy="8503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76200</xdr:rowOff>
    </xdr:from>
    <xdr:to>
      <xdr:col>1</xdr:col>
      <xdr:colOff>1143000</xdr:colOff>
      <xdr:row>3</xdr:row>
      <xdr:rowOff>12194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2095500" cy="8503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190498</xdr:colOff>
      <xdr:row>0</xdr:row>
      <xdr:rowOff>95249</xdr:rowOff>
    </xdr:from>
    <xdr:to>
      <xdr:col>3</xdr:col>
      <xdr:colOff>774699</xdr:colOff>
      <xdr:row>3</xdr:row>
      <xdr:rowOff>12575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8" y="95249"/>
          <a:ext cx="3067051" cy="1117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D6F76F-9440-4346-87E0-48079C9FD0C8}">
  <we:reference id="f234de32-fe7b-4416-9a5c-24b3eec67909" version="1.1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2B95-ED57-4107-B0D7-8F135AFD6B02}">
  <sheetPr>
    <tabColor theme="0" tint="-0.249977111117893"/>
  </sheetPr>
  <dimension ref="A1:G26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1.83203125" style="1" customWidth="1"/>
    <col min="2" max="2" width="18.6640625" style="1" customWidth="1"/>
    <col min="3" max="4" width="15.5" style="1" customWidth="1"/>
    <col min="5" max="5" width="6.1640625" style="1" bestFit="1" customWidth="1"/>
    <col min="7" max="7" width="10" style="1" bestFit="1" customWidth="1"/>
  </cols>
  <sheetData>
    <row r="1" spans="1:7" ht="21" customHeight="1" x14ac:dyDescent="0.2">
      <c r="A1" s="8"/>
      <c r="B1" s="8"/>
      <c r="C1" s="8"/>
      <c r="D1" s="8"/>
    </row>
    <row r="2" spans="1:7" ht="33.75" customHeight="1" x14ac:dyDescent="0.3">
      <c r="A2" s="24"/>
      <c r="B2" s="25"/>
      <c r="C2" s="32" t="s">
        <v>9</v>
      </c>
      <c r="D2" s="32"/>
    </row>
    <row r="3" spans="1:7" ht="38.25" customHeight="1" x14ac:dyDescent="0.3">
      <c r="A3" s="24"/>
      <c r="B3" s="25"/>
      <c r="C3" s="33" t="s">
        <v>8</v>
      </c>
      <c r="D3" s="32"/>
    </row>
    <row r="4" spans="1:7" ht="21" customHeight="1" x14ac:dyDescent="0.3">
      <c r="A4" s="9"/>
      <c r="B4" s="10"/>
      <c r="C4" s="10"/>
      <c r="D4" s="10"/>
    </row>
    <row r="5" spans="1:7" ht="15" customHeight="1" thickBot="1" x14ac:dyDescent="0.35">
      <c r="A5" s="11"/>
      <c r="B5" s="12"/>
      <c r="C5" s="12"/>
      <c r="D5" s="12"/>
    </row>
    <row r="6" spans="1:7" ht="32" x14ac:dyDescent="0.2">
      <c r="A6" s="16" t="s">
        <v>44</v>
      </c>
      <c r="B6" s="17" t="s">
        <v>4</v>
      </c>
      <c r="C6" s="17" t="s">
        <v>5</v>
      </c>
      <c r="D6" s="17" t="s">
        <v>47</v>
      </c>
    </row>
    <row r="7" spans="1:7" x14ac:dyDescent="0.2">
      <c r="A7" s="14">
        <v>1</v>
      </c>
      <c r="B7" s="38">
        <v>0</v>
      </c>
      <c r="C7" s="38">
        <v>1499999</v>
      </c>
      <c r="D7" s="15">
        <v>0.5</v>
      </c>
    </row>
    <row r="8" spans="1:7" x14ac:dyDescent="0.2">
      <c r="A8" s="3">
        <v>2</v>
      </c>
      <c r="B8" s="39">
        <v>1500000</v>
      </c>
      <c r="C8" s="39">
        <v>5499999</v>
      </c>
      <c r="D8" s="4">
        <v>0.45</v>
      </c>
    </row>
    <row r="9" spans="1:7" x14ac:dyDescent="0.2">
      <c r="A9" s="3">
        <v>3</v>
      </c>
      <c r="B9" s="39">
        <v>5500000</v>
      </c>
      <c r="C9" s="39">
        <v>9499999</v>
      </c>
      <c r="D9" s="4">
        <v>0.4</v>
      </c>
    </row>
    <row r="10" spans="1:7" ht="16" thickBot="1" x14ac:dyDescent="0.25">
      <c r="A10" s="5">
        <v>4</v>
      </c>
      <c r="B10" s="40">
        <v>9500000</v>
      </c>
      <c r="C10" s="40">
        <v>13499999</v>
      </c>
      <c r="D10" s="6">
        <v>0.35</v>
      </c>
    </row>
    <row r="11" spans="1:7" ht="16" thickBot="1" x14ac:dyDescent="0.25"/>
    <row r="12" spans="1:7" x14ac:dyDescent="0.2">
      <c r="B12" s="21" t="s">
        <v>6</v>
      </c>
      <c r="C12" s="41">
        <v>2750000</v>
      </c>
      <c r="G12" s="52"/>
    </row>
    <row r="13" spans="1:7" x14ac:dyDescent="0.2">
      <c r="B13" s="22" t="s">
        <v>45</v>
      </c>
      <c r="C13" s="7">
        <v>0.05</v>
      </c>
      <c r="G13" s="52"/>
    </row>
    <row r="14" spans="1:7" x14ac:dyDescent="0.2">
      <c r="B14" s="22" t="s">
        <v>2</v>
      </c>
      <c r="C14" s="42">
        <f>C13*C12</f>
        <v>137500</v>
      </c>
    </row>
    <row r="15" spans="1:7" ht="16" thickBot="1" x14ac:dyDescent="0.25">
      <c r="B15" s="23" t="s">
        <v>48</v>
      </c>
      <c r="C15" s="43">
        <f>_xlfn.IFS(C12&lt;=C7,C14*D7,C12&lt;=C8,C14*D8,C12&lt;=C9,C14*D9,C12&gt;=B10,C14*D10)</f>
        <v>61875</v>
      </c>
    </row>
    <row r="16" spans="1:7" ht="16" thickBot="1" x14ac:dyDescent="0.25"/>
    <row r="17" spans="2:3" x14ac:dyDescent="0.2">
      <c r="B17" s="16" t="s">
        <v>47</v>
      </c>
      <c r="C17" s="20" t="s">
        <v>49</v>
      </c>
    </row>
    <row r="18" spans="2:3" x14ac:dyDescent="0.2">
      <c r="B18" s="19"/>
      <c r="C18" s="38"/>
    </row>
    <row r="19" spans="2:3" x14ac:dyDescent="0.2">
      <c r="B19" s="13">
        <v>0.25</v>
      </c>
      <c r="C19" s="39"/>
    </row>
    <row r="20" spans="2:3" x14ac:dyDescent="0.2">
      <c r="B20" s="13">
        <v>0.3</v>
      </c>
      <c r="C20" s="39"/>
    </row>
    <row r="21" spans="2:3" x14ac:dyDescent="0.2">
      <c r="B21" s="13">
        <v>0.35</v>
      </c>
      <c r="C21" s="39"/>
    </row>
    <row r="22" spans="2:3" x14ac:dyDescent="0.2">
      <c r="B22" s="13">
        <v>0.4</v>
      </c>
      <c r="C22" s="39"/>
    </row>
    <row r="23" spans="2:3" x14ac:dyDescent="0.2">
      <c r="B23" s="13">
        <v>0.45</v>
      </c>
      <c r="C23" s="39"/>
    </row>
    <row r="24" spans="2:3" x14ac:dyDescent="0.2">
      <c r="B24" s="13">
        <v>0.5</v>
      </c>
      <c r="C24" s="39"/>
    </row>
    <row r="25" spans="2:3" x14ac:dyDescent="0.2">
      <c r="B25" s="13">
        <v>0.55000000000000004</v>
      </c>
      <c r="C25" s="39"/>
    </row>
    <row r="26" spans="2:3" ht="16" thickBot="1" x14ac:dyDescent="0.25">
      <c r="B26" s="50">
        <v>0.6</v>
      </c>
      <c r="C26" s="4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F27"/>
  <sheetViews>
    <sheetView workbookViewId="0">
      <selection activeCell="A5" sqref="A5"/>
    </sheetView>
  </sheetViews>
  <sheetFormatPr baseColWidth="10" defaultColWidth="8.83203125" defaultRowHeight="15" x14ac:dyDescent="0.2"/>
  <cols>
    <col min="1" max="2" width="18.33203125" style="1" bestFit="1" customWidth="1"/>
    <col min="3" max="3" width="15.33203125" style="1" bestFit="1" customWidth="1"/>
    <col min="4" max="4" width="11.83203125" style="1" bestFit="1" customWidth="1"/>
    <col min="5" max="5" width="7.83203125" style="1" bestFit="1" customWidth="1"/>
    <col min="6" max="6" width="6.1640625" style="1" bestFit="1" customWidth="1"/>
  </cols>
  <sheetData>
    <row r="1" spans="1:5" x14ac:dyDescent="0.2">
      <c r="A1" s="26"/>
      <c r="B1" s="26"/>
      <c r="C1" s="26"/>
      <c r="D1" s="26"/>
      <c r="E1" s="26"/>
    </row>
    <row r="2" spans="1:5" ht="36" customHeight="1" x14ac:dyDescent="0.3">
      <c r="A2" s="24"/>
      <c r="B2" s="25"/>
      <c r="C2" s="32" t="s">
        <v>9</v>
      </c>
      <c r="D2" s="25"/>
      <c r="E2" s="25"/>
    </row>
    <row r="3" spans="1:5" ht="36" customHeight="1" x14ac:dyDescent="0.25">
      <c r="C3" s="33" t="s">
        <v>8</v>
      </c>
      <c r="D3" s="25"/>
      <c r="E3" s="25"/>
    </row>
    <row r="4" spans="1:5" ht="15" customHeight="1" x14ac:dyDescent="0.3">
      <c r="A4" s="27"/>
      <c r="B4" s="28"/>
      <c r="C4" s="28"/>
      <c r="D4" s="28"/>
      <c r="E4" s="28"/>
    </row>
    <row r="5" spans="1:5" ht="15" customHeight="1" thickBot="1" x14ac:dyDescent="0.35">
      <c r="A5" s="11"/>
      <c r="B5" s="12"/>
      <c r="C5" s="12"/>
      <c r="D5" s="12"/>
      <c r="E5" s="12"/>
    </row>
    <row r="6" spans="1:5" ht="32" x14ac:dyDescent="0.2">
      <c r="A6" s="16" t="s">
        <v>44</v>
      </c>
      <c r="B6" s="17" t="s">
        <v>4</v>
      </c>
      <c r="C6" s="17" t="s">
        <v>5</v>
      </c>
      <c r="D6" s="17" t="s">
        <v>50</v>
      </c>
      <c r="E6" s="18" t="s">
        <v>0</v>
      </c>
    </row>
    <row r="7" spans="1:5" x14ac:dyDescent="0.2">
      <c r="A7" s="14">
        <v>1</v>
      </c>
      <c r="B7" s="38">
        <v>0</v>
      </c>
      <c r="C7" s="38">
        <v>1499999</v>
      </c>
      <c r="D7" s="15">
        <v>0.5</v>
      </c>
      <c r="E7" s="44">
        <v>1.2500000000000001E-2</v>
      </c>
    </row>
    <row r="8" spans="1:5" x14ac:dyDescent="0.2">
      <c r="A8" s="3">
        <v>2</v>
      </c>
      <c r="B8" s="39">
        <v>1500000</v>
      </c>
      <c r="C8" s="39">
        <v>5499999</v>
      </c>
      <c r="D8" s="4">
        <v>0.45</v>
      </c>
      <c r="E8" s="45">
        <v>1.2999999999999999E-2</v>
      </c>
    </row>
    <row r="9" spans="1:5" x14ac:dyDescent="0.2">
      <c r="A9" s="3">
        <v>3</v>
      </c>
      <c r="B9" s="39">
        <v>5500000</v>
      </c>
      <c r="C9" s="39">
        <v>9499999</v>
      </c>
      <c r="D9" s="4">
        <v>0.4</v>
      </c>
      <c r="E9" s="45">
        <v>0.02</v>
      </c>
    </row>
    <row r="10" spans="1:5" ht="16" thickBot="1" x14ac:dyDescent="0.25">
      <c r="A10" s="5">
        <v>4</v>
      </c>
      <c r="B10" s="40">
        <v>9500000</v>
      </c>
      <c r="C10" s="40">
        <v>13499999</v>
      </c>
      <c r="D10" s="6">
        <v>0.35</v>
      </c>
      <c r="E10" s="46">
        <v>2.1499999999999998E-2</v>
      </c>
    </row>
    <row r="11" spans="1:5" ht="16" thickBot="1" x14ac:dyDescent="0.25"/>
    <row r="12" spans="1:5" x14ac:dyDescent="0.2">
      <c r="B12" s="29" t="s">
        <v>6</v>
      </c>
      <c r="C12" s="41">
        <v>4500000</v>
      </c>
    </row>
    <row r="13" spans="1:5" x14ac:dyDescent="0.2">
      <c r="B13" s="30" t="s">
        <v>1</v>
      </c>
      <c r="C13" s="7">
        <v>0.05</v>
      </c>
    </row>
    <row r="14" spans="1:5" x14ac:dyDescent="0.2">
      <c r="B14" s="30" t="s">
        <v>2</v>
      </c>
      <c r="C14" s="42">
        <f>C13*C12</f>
        <v>225000</v>
      </c>
    </row>
    <row r="15" spans="1:5" x14ac:dyDescent="0.2">
      <c r="B15" s="30" t="s">
        <v>50</v>
      </c>
      <c r="C15" s="42">
        <f>_xlfn.IFS(C12&lt;=C7,C14*D7,C12&lt;=C8,C14*D8,C12&lt;=C9,C14*D9,C12&gt;=B10,C14*D10)</f>
        <v>101250</v>
      </c>
    </row>
    <row r="16" spans="1:5" x14ac:dyDescent="0.2">
      <c r="B16" s="30" t="s">
        <v>3</v>
      </c>
      <c r="C16" s="42">
        <f>_xlfn.IFS(C12&gt;=C7,C15*E7,C12&lt;=C8,C15*E8,C12&lt;=C9,C15*E9,C12&gt;=B10,C15*E10)</f>
        <v>1265.625</v>
      </c>
    </row>
    <row r="17" spans="2:5" ht="16" thickBot="1" x14ac:dyDescent="0.25">
      <c r="B17" s="31" t="s">
        <v>7</v>
      </c>
      <c r="C17" s="43">
        <f>C15-C16</f>
        <v>99984.375</v>
      </c>
    </row>
    <row r="22" spans="2:5" x14ac:dyDescent="0.2">
      <c r="E22" s="2"/>
    </row>
    <row r="23" spans="2:5" x14ac:dyDescent="0.2">
      <c r="E23" s="2"/>
    </row>
    <row r="24" spans="2:5" x14ac:dyDescent="0.2">
      <c r="E24" s="2"/>
    </row>
    <row r="25" spans="2:5" x14ac:dyDescent="0.2">
      <c r="E25" s="2"/>
    </row>
    <row r="26" spans="2:5" x14ac:dyDescent="0.2">
      <c r="E26" s="2"/>
    </row>
    <row r="27" spans="2:5" x14ac:dyDescent="0.2">
      <c r="E27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  <pageSetUpPr fitToPage="1"/>
  </sheetPr>
  <dimension ref="A1:I26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2.83203125" style="1" bestFit="1" customWidth="1"/>
    <col min="2" max="2" width="10.1640625" style="1" bestFit="1" customWidth="1"/>
    <col min="3" max="3" width="5.1640625" bestFit="1" customWidth="1"/>
    <col min="4" max="4" width="10.6640625" style="1" bestFit="1" customWidth="1"/>
    <col min="5" max="5" width="8.6640625" style="1" bestFit="1" customWidth="1"/>
    <col min="6" max="6" width="12.1640625" style="1" bestFit="1" customWidth="1"/>
  </cols>
  <sheetData>
    <row r="1" spans="1:9" ht="31.5" customHeight="1" x14ac:dyDescent="0.25">
      <c r="A1" s="12"/>
      <c r="B1" s="12"/>
      <c r="C1" s="12"/>
      <c r="E1" s="12"/>
      <c r="F1" s="37">
        <f ca="1">TODAY()</f>
        <v>46133</v>
      </c>
    </row>
    <row r="2" spans="1:9" ht="31.5" customHeight="1" x14ac:dyDescent="0.2">
      <c r="A2" s="12"/>
      <c r="B2" s="12"/>
      <c r="C2" s="12"/>
      <c r="D2" s="12"/>
      <c r="E2" s="12"/>
    </row>
    <row r="3" spans="1:9" ht="31.5" customHeight="1" x14ac:dyDescent="0.2">
      <c r="A3" s="12"/>
      <c r="B3" s="12"/>
      <c r="C3" s="12"/>
      <c r="D3" s="12"/>
      <c r="E3" s="12"/>
    </row>
    <row r="4" spans="1:9" ht="36" customHeight="1" x14ac:dyDescent="0.2">
      <c r="A4" s="34" t="s">
        <v>10</v>
      </c>
      <c r="B4" s="34" t="s">
        <v>11</v>
      </c>
      <c r="C4" s="34" t="s">
        <v>12</v>
      </c>
      <c r="D4" s="34" t="s">
        <v>43</v>
      </c>
      <c r="E4" s="34" t="s">
        <v>13</v>
      </c>
      <c r="F4" s="47" t="s">
        <v>46</v>
      </c>
    </row>
    <row r="5" spans="1:9" ht="18" customHeight="1" x14ac:dyDescent="0.2">
      <c r="A5" s="35" t="s">
        <v>14</v>
      </c>
      <c r="B5" s="35" t="s">
        <v>15</v>
      </c>
      <c r="C5" s="35">
        <v>1900</v>
      </c>
      <c r="D5" s="36">
        <f ca="1">F1-90</f>
        <v>46043</v>
      </c>
      <c r="E5" s="51">
        <v>650000</v>
      </c>
      <c r="F5" s="35" cm="1">
        <f t="array" ref="F5:F26">(E5:E26/C5:C26)*2</f>
        <v>684.21052631578948</v>
      </c>
      <c r="H5" s="48"/>
      <c r="I5" s="49"/>
    </row>
    <row r="6" spans="1:9" ht="18" customHeight="1" x14ac:dyDescent="0.2">
      <c r="A6" s="35" t="s">
        <v>16</v>
      </c>
      <c r="B6" s="35" t="s">
        <v>17</v>
      </c>
      <c r="C6" s="35">
        <v>1184</v>
      </c>
      <c r="D6" s="36">
        <f ca="1">D5+7</f>
        <v>46050</v>
      </c>
      <c r="E6" s="51">
        <v>575000</v>
      </c>
      <c r="F6" s="35">
        <v>971.28378378378375</v>
      </c>
    </row>
    <row r="7" spans="1:9" ht="18" customHeight="1" x14ac:dyDescent="0.2">
      <c r="A7" s="35" t="s">
        <v>18</v>
      </c>
      <c r="B7" s="35" t="s">
        <v>15</v>
      </c>
      <c r="C7" s="35">
        <v>1840</v>
      </c>
      <c r="D7" s="36">
        <f t="shared" ref="D7:D26" ca="1" si="0">D6+7</f>
        <v>46057</v>
      </c>
      <c r="E7" s="51">
        <v>485000</v>
      </c>
      <c r="F7" s="35">
        <v>527.17391304347825</v>
      </c>
    </row>
    <row r="8" spans="1:9" ht="18" customHeight="1" x14ac:dyDescent="0.2">
      <c r="A8" s="35" t="s">
        <v>19</v>
      </c>
      <c r="B8" s="35" t="s">
        <v>20</v>
      </c>
      <c r="C8" s="35">
        <v>1905</v>
      </c>
      <c r="D8" s="36">
        <f t="shared" ca="1" si="0"/>
        <v>46064</v>
      </c>
      <c r="E8" s="51">
        <v>615500</v>
      </c>
      <c r="F8" s="35">
        <v>646.19422572178473</v>
      </c>
    </row>
    <row r="9" spans="1:9" ht="18" customHeight="1" x14ac:dyDescent="0.2">
      <c r="A9" s="35" t="s">
        <v>21</v>
      </c>
      <c r="B9" s="35" t="s">
        <v>20</v>
      </c>
      <c r="C9" s="35">
        <v>2234</v>
      </c>
      <c r="D9" s="36">
        <f t="shared" ca="1" si="0"/>
        <v>46071</v>
      </c>
      <c r="E9" s="51">
        <v>725000</v>
      </c>
      <c r="F9" s="35">
        <v>649.05998209489701</v>
      </c>
    </row>
    <row r="10" spans="1:9" ht="18" customHeight="1" x14ac:dyDescent="0.2">
      <c r="A10" s="35" t="s">
        <v>22</v>
      </c>
      <c r="B10" s="35" t="s">
        <v>23</v>
      </c>
      <c r="C10" s="35">
        <v>1948</v>
      </c>
      <c r="D10" s="36">
        <f t="shared" ca="1" si="0"/>
        <v>46078</v>
      </c>
      <c r="E10" s="51">
        <v>620000</v>
      </c>
      <c r="F10" s="35">
        <v>636.55030800821351</v>
      </c>
    </row>
    <row r="11" spans="1:9" ht="18" customHeight="1" x14ac:dyDescent="0.2">
      <c r="A11" s="35" t="s">
        <v>24</v>
      </c>
      <c r="B11" s="35" t="s">
        <v>23</v>
      </c>
      <c r="C11" s="35">
        <v>1571</v>
      </c>
      <c r="D11" s="36">
        <f t="shared" ca="1" si="0"/>
        <v>46085</v>
      </c>
      <c r="E11" s="51">
        <v>485000</v>
      </c>
      <c r="F11" s="35">
        <v>617.44112030553788</v>
      </c>
    </row>
    <row r="12" spans="1:9" ht="18" customHeight="1" x14ac:dyDescent="0.2">
      <c r="A12" s="35" t="s">
        <v>25</v>
      </c>
      <c r="B12" s="35" t="s">
        <v>20</v>
      </c>
      <c r="C12" s="35">
        <v>1456</v>
      </c>
      <c r="D12" s="36">
        <f t="shared" ca="1" si="0"/>
        <v>46092</v>
      </c>
      <c r="E12" s="51">
        <v>395900</v>
      </c>
      <c r="F12" s="35">
        <v>543.81868131868134</v>
      </c>
    </row>
    <row r="13" spans="1:9" ht="18" customHeight="1" x14ac:dyDescent="0.2">
      <c r="A13" s="35" t="s">
        <v>26</v>
      </c>
      <c r="B13" s="35" t="s">
        <v>17</v>
      </c>
      <c r="C13" s="35">
        <v>1480</v>
      </c>
      <c r="D13" s="36">
        <f t="shared" ca="1" si="0"/>
        <v>46099</v>
      </c>
      <c r="E13" s="51">
        <v>410000</v>
      </c>
      <c r="F13" s="35">
        <v>554.05405405405406</v>
      </c>
    </row>
    <row r="14" spans="1:9" ht="18" customHeight="1" x14ac:dyDescent="0.2">
      <c r="A14" s="35" t="s">
        <v>27</v>
      </c>
      <c r="B14" s="35" t="s">
        <v>20</v>
      </c>
      <c r="C14" s="35">
        <v>1950</v>
      </c>
      <c r="D14" s="36">
        <f t="shared" ca="1" si="0"/>
        <v>46106</v>
      </c>
      <c r="E14" s="51">
        <v>615000</v>
      </c>
      <c r="F14" s="35">
        <v>630.76923076923072</v>
      </c>
    </row>
    <row r="15" spans="1:9" ht="18" customHeight="1" x14ac:dyDescent="0.2">
      <c r="A15" s="35" t="s">
        <v>28</v>
      </c>
      <c r="B15" s="35" t="s">
        <v>29</v>
      </c>
      <c r="C15" s="35">
        <v>2100</v>
      </c>
      <c r="D15" s="36">
        <f t="shared" ca="1" si="0"/>
        <v>46113</v>
      </c>
      <c r="E15" s="51">
        <v>825000</v>
      </c>
      <c r="F15" s="35">
        <v>785.71428571428567</v>
      </c>
    </row>
    <row r="16" spans="1:9" ht="18" customHeight="1" x14ac:dyDescent="0.2">
      <c r="A16" s="35" t="s">
        <v>30</v>
      </c>
      <c r="B16" s="35" t="s">
        <v>31</v>
      </c>
      <c r="C16" s="35">
        <v>1755</v>
      </c>
      <c r="D16" s="36">
        <f t="shared" ca="1" si="0"/>
        <v>46120</v>
      </c>
      <c r="E16" s="51">
        <v>810000</v>
      </c>
      <c r="F16" s="35">
        <v>923.07692307692309</v>
      </c>
    </row>
    <row r="17" spans="1:6" ht="18" customHeight="1" x14ac:dyDescent="0.2">
      <c r="A17" s="35" t="s">
        <v>32</v>
      </c>
      <c r="B17" s="35" t="s">
        <v>33</v>
      </c>
      <c r="C17" s="35">
        <v>1950</v>
      </c>
      <c r="D17" s="36">
        <f t="shared" ca="1" si="0"/>
        <v>46127</v>
      </c>
      <c r="E17" s="51">
        <v>765000</v>
      </c>
      <c r="F17" s="35">
        <v>784.61538461538464</v>
      </c>
    </row>
    <row r="18" spans="1:6" ht="18" customHeight="1" x14ac:dyDescent="0.2">
      <c r="A18" s="35" t="s">
        <v>34</v>
      </c>
      <c r="B18" s="35" t="s">
        <v>29</v>
      </c>
      <c r="C18" s="35">
        <v>2200</v>
      </c>
      <c r="D18" s="36">
        <f t="shared" ca="1" si="0"/>
        <v>46134</v>
      </c>
      <c r="E18" s="51">
        <v>899000</v>
      </c>
      <c r="F18" s="35">
        <v>817.27272727272725</v>
      </c>
    </row>
    <row r="19" spans="1:6" ht="18" customHeight="1" x14ac:dyDescent="0.2">
      <c r="A19" s="35" t="s">
        <v>35</v>
      </c>
      <c r="B19" s="35" t="s">
        <v>31</v>
      </c>
      <c r="C19" s="35">
        <v>2100</v>
      </c>
      <c r="D19" s="36">
        <f t="shared" ca="1" si="0"/>
        <v>46141</v>
      </c>
      <c r="E19" s="51">
        <v>835000</v>
      </c>
      <c r="F19" s="35">
        <v>795.23809523809518</v>
      </c>
    </row>
    <row r="20" spans="1:6" ht="18" customHeight="1" x14ac:dyDescent="0.2">
      <c r="A20" s="35" t="s">
        <v>36</v>
      </c>
      <c r="B20" s="35" t="s">
        <v>33</v>
      </c>
      <c r="C20" s="35">
        <v>1700</v>
      </c>
      <c r="D20" s="36">
        <f t="shared" ca="1" si="0"/>
        <v>46148</v>
      </c>
      <c r="E20" s="51">
        <v>650000</v>
      </c>
      <c r="F20" s="35">
        <v>764.70588235294122</v>
      </c>
    </row>
    <row r="21" spans="1:6" ht="18" customHeight="1" x14ac:dyDescent="0.2">
      <c r="A21" s="35" t="s">
        <v>37</v>
      </c>
      <c r="B21" s="35" t="s">
        <v>29</v>
      </c>
      <c r="C21" s="35">
        <v>1900</v>
      </c>
      <c r="D21" s="36">
        <f t="shared" ca="1" si="0"/>
        <v>46155</v>
      </c>
      <c r="E21" s="51">
        <v>715000</v>
      </c>
      <c r="F21" s="35">
        <v>752.63157894736844</v>
      </c>
    </row>
    <row r="22" spans="1:6" ht="18" customHeight="1" x14ac:dyDescent="0.2">
      <c r="A22" s="35" t="s">
        <v>38</v>
      </c>
      <c r="B22" s="35" t="s">
        <v>31</v>
      </c>
      <c r="C22" s="35">
        <v>2000</v>
      </c>
      <c r="D22" s="36">
        <f t="shared" ca="1" si="0"/>
        <v>46162</v>
      </c>
      <c r="E22" s="51">
        <v>799900</v>
      </c>
      <c r="F22" s="35">
        <v>799.9</v>
      </c>
    </row>
    <row r="23" spans="1:6" ht="18" customHeight="1" x14ac:dyDescent="0.2">
      <c r="A23" s="35" t="s">
        <v>39</v>
      </c>
      <c r="B23" s="35" t="s">
        <v>33</v>
      </c>
      <c r="C23" s="35">
        <v>1850</v>
      </c>
      <c r="D23" s="36">
        <f t="shared" ca="1" si="0"/>
        <v>46169</v>
      </c>
      <c r="E23" s="51">
        <v>820000</v>
      </c>
      <c r="F23" s="35">
        <v>886.48648648648646</v>
      </c>
    </row>
    <row r="24" spans="1:6" ht="18" customHeight="1" x14ac:dyDescent="0.2">
      <c r="A24" s="35" t="s">
        <v>40</v>
      </c>
      <c r="B24" s="35" t="s">
        <v>29</v>
      </c>
      <c r="C24" s="35">
        <v>1900</v>
      </c>
      <c r="D24" s="36">
        <f t="shared" ca="1" si="0"/>
        <v>46176</v>
      </c>
      <c r="E24" s="51">
        <v>735900</v>
      </c>
      <c r="F24" s="35">
        <v>774.63157894736844</v>
      </c>
    </row>
    <row r="25" spans="1:6" ht="18" customHeight="1" x14ac:dyDescent="0.2">
      <c r="A25" s="35" t="s">
        <v>41</v>
      </c>
      <c r="B25" s="35" t="s">
        <v>31</v>
      </c>
      <c r="C25" s="35">
        <v>2100</v>
      </c>
      <c r="D25" s="36">
        <f t="shared" ca="1" si="0"/>
        <v>46183</v>
      </c>
      <c r="E25" s="51">
        <v>915000</v>
      </c>
      <c r="F25" s="35">
        <v>871.42857142857144</v>
      </c>
    </row>
    <row r="26" spans="1:6" ht="18" customHeight="1" x14ac:dyDescent="0.2">
      <c r="A26" s="35" t="s">
        <v>42</v>
      </c>
      <c r="B26" s="35" t="s">
        <v>33</v>
      </c>
      <c r="C26" s="35">
        <v>1650</v>
      </c>
      <c r="D26" s="36">
        <f t="shared" ca="1" si="0"/>
        <v>46190</v>
      </c>
      <c r="E26" s="51">
        <v>585000</v>
      </c>
      <c r="F26" s="35">
        <v>709.09090909090912</v>
      </c>
    </row>
  </sheetData>
  <pageMargins left="0.7" right="0.7" top="0.75" bottom="0.75" header="0.3" footer="0.3"/>
  <pageSetup scale="7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enna xmlns="http://customxml.org">
  <kers>iZVsE21brjO6kVTr3v+eG4d6CYmq43kQxz9QKXp+1j4=</kers>
  <massa>4/21/2026 6:02:36 PM</massa>
  <hamilton>true</hamilton>
</senn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7F8416-1798-41E3-BA73-B0083A8867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133854-0FBC-4EC6-B07C-A6AF34AA29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99006C-FE7F-4408-AF3E-69AD781228D3}">
  <ds:schemaRefs>
    <ds:schemaRef ds:uri="http://customxml.org"/>
  </ds:schemaRefs>
</ds:datastoreItem>
</file>

<file path=customXml/itemProps4.xml><?xml version="1.0" encoding="utf-8"?>
<ds:datastoreItem xmlns:ds="http://schemas.openxmlformats.org/officeDocument/2006/customXml" ds:itemID="{7A026AD7-4872-42B4-A634-13B5EF4DD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a39ba-5f65-44c3-864e-d3035d837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Price Solver</vt:lpstr>
      <vt:lpstr>Sales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2021-08-01T01:21:29Z</dcterms:created>
  <dcterms:modified xsi:type="dcterms:W3CDTF">2026-04-21T23:05:00Z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  <property fmtid="{D5CDD505-2E9C-101B-9397-08002B2CF9AE}" pid="3" name="ms_schema_validation">
    <vt:lpwstr>[{"Key":"kers","Value":"iZVsE21brjO6kVTr3v\u002BeG4d6CYmq43kQxz9QKXp\u002B1j4="},{"Key":"massa","Value":"4/21/2026 6:02:36 PM"},{"Key":"hamilton","Value":"true"}]</vt:lpwstr>
  </property>
</Properties>
</file>